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f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<sst xmlns="http://schemas.openxmlformats.org/spreadsheetml/2006/main" count="404" uniqueCount="211">
  <si>
    <t xml:space="preserve">Shift ID</t>
  </si>
  <si>
    <t xml:space="preserve">Name</t>
  </si>
  <si>
    <t xml:space="preserve">Address</t>
  </si>
  <si>
    <t xml:space="preserve">Staff</t>
  </si>
  <si>
    <t xml:space="preserve">Staff ID</t>
  </si>
  <si>
    <t xml:space="preserve">Start Date Time</t>
  </si>
  <si>
    <t xml:space="preserve">End Date Time</t>
  </si>
  <si>
    <t xml:space="preserve">Hours</t>
  </si>
  <si>
    <t xml:space="preserve">Mileage</t>
  </si>
  <si>
    <t xml:space="preserve">Expense</t>
  </si>
  <si>
    <t xml:space="preserve">Absent</t>
  </si>
  <si>
    <t xml:space="preserve">Shift Status</t>
  </si>
  <si>
    <t xml:space="preserve">Cancelled Reason</t>
  </si>
  <si>
    <t xml:space="preserve">Clockin Date Time</t>
  </si>
  <si>
    <t xml:space="preserve">Clockout Date Time</t>
  </si>
  <si>
    <t xml:space="preserve">Shift Type</t>
  </si>
  <si>
    <t xml:space="preserve">Additional Shift Types</t>
  </si>
  <si>
    <t xml:space="preserve">URL</t>
  </si>
  <si>
    <t xml:space="preserve">Note</t>
  </si>
  <si>
    <t xml:space="preserve">Test Client A</t>
  </si>
  <si>
    <t xml:space="preserve">1 Test St, Brisbane</t>
  </si>
  <si>
    <t xml:space="preserve">Aini-Alem Goitom</t>
  </si>
  <si>
    <t xml:space="preserve">2026-04-07 06:00:00 +1000</t>
  </si>
  <si>
    <t xml:space="preserve">2026-04-07 14:00:00 +1000</t>
  </si>
  <si>
    <t xml:space="preserve">No</t>
  </si>
  <si>
    <t xml:space="preserve">Approved</t>
  </si>
  <si>
    <t xml:space="preserve">Personal Care</t>
  </si>
  <si>
    <t xml:space="preserve">TC-01 | Mon Morning 06:00–14:00 → Morning rate (100%)</t>
  </si>
  <si>
    <t xml:space="preserve">Test Client B</t>
  </si>
  <si>
    <t xml:space="preserve">2 Test St, Brisbane</t>
  </si>
  <si>
    <t xml:space="preserve">Silvester Jose</t>
  </si>
  <si>
    <t xml:space="preserve">2026-04-07 05:00:00 +1000</t>
  </si>
  <si>
    <t xml:space="preserve">2026-04-07 13:00:00 +1000</t>
  </si>
  <si>
    <t xml:space="preserve">TC-02 | Tue starts 05:00 (before 06:00) → Night rate whole shift</t>
  </si>
  <si>
    <t xml:space="preserve">Test Client C</t>
  </si>
  <si>
    <t xml:space="preserve">3 Test St, Brisbane</t>
  </si>
  <si>
    <t xml:space="preserve">Sebin Sebastian</t>
  </si>
  <si>
    <t xml:space="preserve">2026-04-08 20:00:00 +1000</t>
  </si>
  <si>
    <t xml:space="preserve">2026-04-08 23:00:00 +1000</t>
  </si>
  <si>
    <t xml:space="preserve">TC-03 | Wed 20:00–23:00 → Afternoon rate (ends after 20:00)</t>
  </si>
  <si>
    <t xml:space="preserve">Test Client D</t>
  </si>
  <si>
    <t xml:space="preserve">4 Test St, Brisbane</t>
  </si>
  <si>
    <t xml:space="preserve">Roniya Mary Reji</t>
  </si>
  <si>
    <t xml:space="preserve">2026-04-09 14:00:00 +1000</t>
  </si>
  <si>
    <t xml:space="preserve">2026-04-09 22:00:00 +1000</t>
  </si>
  <si>
    <t xml:space="preserve">TC-04 | Thu 14:00–22:00 → Escalation: Morning+Aft → Afternoon rate</t>
  </si>
  <si>
    <t xml:space="preserve">Test Client E</t>
  </si>
  <si>
    <t xml:space="preserve">5 Test St, Brisbane</t>
  </si>
  <si>
    <t xml:space="preserve">Passang Dema</t>
  </si>
  <si>
    <t xml:space="preserve">2026-04-10 10:00:00 +1000</t>
  </si>
  <si>
    <t xml:space="preserve">2026-04-11 01:00:00 +1000</t>
  </si>
  <si>
    <t xml:space="preserve">TC-05 | Fri 10:00–Sat 01:00 → Escalation: Morning+Night → Night rate | SPLIT at midnight</t>
  </si>
  <si>
    <t xml:space="preserve">Test Client F</t>
  </si>
  <si>
    <t xml:space="preserve">6 Test St, Brisbane</t>
  </si>
  <si>
    <t xml:space="preserve">Marc Relizan</t>
  </si>
  <si>
    <t xml:space="preserve">2026-04-07 18:00:00 +1000</t>
  </si>
  <si>
    <t xml:space="preserve">2026-04-08 02:00:00 +1000</t>
  </si>
  <si>
    <t xml:space="preserve">TC-06 | Mon 18:00–Tue 02:00 → Escalation: Aft+Night → Night rate (continuous Mon→Tue)</t>
  </si>
  <si>
    <t xml:space="preserve">Test Client G</t>
  </si>
  <si>
    <t xml:space="preserve">7 Test St, Brisbane</t>
  </si>
  <si>
    <t xml:space="preserve">Mandy Hewitt</t>
  </si>
  <si>
    <t xml:space="preserve">2026-04-11 08:00:00 +1000</t>
  </si>
  <si>
    <t xml:space="preserve">2026-04-11 16:00:00 +1000</t>
  </si>
  <si>
    <t xml:space="preserve">TC-07 | Sat 08:00–16:00 → Saturday rate (no band escalation on weekends)</t>
  </si>
  <si>
    <t xml:space="preserve">Test Client H</t>
  </si>
  <si>
    <t xml:space="preserve">8 Test St, Brisbane</t>
  </si>
  <si>
    <t xml:space="preserve">Lesley Chepchumba</t>
  </si>
  <si>
    <t xml:space="preserve">2026-04-12 09:00:00 +1000</t>
  </si>
  <si>
    <t xml:space="preserve">2026-04-12 17:00:00 +1000</t>
  </si>
  <si>
    <t xml:space="preserve">TC-08 | Sun 09:00–17:00 → Sunday rate (200%)</t>
  </si>
  <si>
    <t xml:space="preserve">Test Client I</t>
  </si>
  <si>
    <t xml:space="preserve">9 Test St, Brisbane</t>
  </si>
  <si>
    <t xml:space="preserve">Shreya Shony</t>
  </si>
  <si>
    <t xml:space="preserve">2026-04-12 06:00:00 +1000</t>
  </si>
  <si>
    <t xml:space="preserve">TC-09 | Sun 06:00–17:00 (11hrs) → Sunday OT all at 200% (no step-up)</t>
  </si>
  <si>
    <t xml:space="preserve">Test Client J</t>
  </si>
  <si>
    <t xml:space="preserve">10 Test St, Brisbane</t>
  </si>
  <si>
    <t xml:space="preserve">Jyothis Elizebath</t>
  </si>
  <si>
    <t xml:space="preserve">2026-04-18 08:00:00 +1000</t>
  </si>
  <si>
    <t xml:space="preserve">2026-04-18 16:00:00 +1000</t>
  </si>
  <si>
    <t xml:space="preserve">TC-10 | Good Friday 08:00–16:00 → PH 250% overrides all</t>
  </si>
  <si>
    <t xml:space="preserve">Test Client K</t>
  </si>
  <si>
    <t xml:space="preserve">11 Test St, Brisbane</t>
  </si>
  <si>
    <t xml:space="preserve">Julie-Anne Seager</t>
  </si>
  <si>
    <t xml:space="preserve">2026-04-18 06:00:00 +1000</t>
  </si>
  <si>
    <t xml:space="preserve">2026-04-18 17:00:00 +1000</t>
  </si>
  <si>
    <t xml:space="preserve">TC-11 | Good Friday 06:00–17:00 (11hrs) → PH 250% even with OT</t>
  </si>
  <si>
    <t xml:space="preserve">Test Client L</t>
  </si>
  <si>
    <t xml:space="preserve">12 Test St, Brisbane</t>
  </si>
  <si>
    <t xml:space="preserve">Hayley Mons Mackellar</t>
  </si>
  <si>
    <t xml:space="preserve">2026-04-07 16:00:00 +1000</t>
  </si>
  <si>
    <t xml:space="preserve">TC-12 | Mon 06:00–16:00 (10hrs exactly) → No daily OT triggered</t>
  </si>
  <si>
    <t xml:space="preserve">Test Client M</t>
  </si>
  <si>
    <t xml:space="preserve">13 Test St, Brisbane</t>
  </si>
  <si>
    <t xml:space="preserve">Femina Hubert</t>
  </si>
  <si>
    <t xml:space="preserve">2026-04-07 17:00:00 +1000</t>
  </si>
  <si>
    <t xml:space="preserve">TC-13 | Mon 06:00–17:00 (11hrs) → 10 ord + 1hr OT@150%</t>
  </si>
  <si>
    <t xml:space="preserve">Test Client N</t>
  </si>
  <si>
    <t xml:space="preserve">14 Test St, Brisbane</t>
  </si>
  <si>
    <t xml:space="preserve">Choki Dorji</t>
  </si>
  <si>
    <t xml:space="preserve">2026-04-07 19:00:00 +1000</t>
  </si>
  <si>
    <t xml:space="preserve">TC-14 | Mon 06:00–19:00 (13hrs) → 10 ord + 2hrs OT@150% + 1hr OT@200%</t>
  </si>
  <si>
    <t xml:space="preserve">Test Client O</t>
  </si>
  <si>
    <t xml:space="preserve">15 Test St, Brisbane</t>
  </si>
  <si>
    <t xml:space="preserve">Aneesh Aloshious</t>
  </si>
  <si>
    <t xml:space="preserve">2026-04-11 06:00:00 +1000</t>
  </si>
  <si>
    <t xml:space="preserve">2026-04-11 17:00:00 +1000</t>
  </si>
  <si>
    <t xml:space="preserve">TC-15 | Sat 06:00–17:00 (11hrs) → Sat rate + 1hr OT@150%</t>
  </si>
  <si>
    <t xml:space="preserve">Test Client P</t>
  </si>
  <si>
    <t xml:space="preserve">16 Test St, Brisbane</t>
  </si>
  <si>
    <t xml:space="preserve">Alan Abraham</t>
  </si>
  <si>
    <t xml:space="preserve">TC-16 | Mon broken 06:00–18:00, break 09:00–15:00 | Span=12hrs → NO span OT. Paid 6hrs</t>
  </si>
  <si>
    <t xml:space="preserve">Test Client Q</t>
  </si>
  <si>
    <t xml:space="preserve">17 Test St, Brisbane</t>
  </si>
  <si>
    <t xml:space="preserve">Kaiyu Lumsdon</t>
  </si>
  <si>
    <t xml:space="preserve">TC-17 | Tue broken 06:00–19:00, break 09:00–15:00 | Span=13hrs → 200% for hrs beyond 12-hr mark</t>
  </si>
  <si>
    <t xml:space="preserve">Test Client R</t>
  </si>
  <si>
    <t xml:space="preserve">18 Test St, Brisbane</t>
  </si>
  <si>
    <t xml:space="preserve">Jess Josephine Verave</t>
  </si>
  <si>
    <t xml:space="preserve">2026-04-11 19:00:00 +1000</t>
  </si>
  <si>
    <t xml:space="preserve">TC-18 | Sat broken 06:00–19:00, break 08:00–14:00 | Span=13hrs → 200% span OT on Saturday</t>
  </si>
  <si>
    <t xml:space="preserve">Test Client S</t>
  </si>
  <si>
    <t xml:space="preserve">19 Test St, Brisbane</t>
  </si>
  <si>
    <t xml:space="preserve">Sherin Mathew</t>
  </si>
  <si>
    <t xml:space="preserve">2026-04-07 09:00:00 +1000</t>
  </si>
  <si>
    <t xml:space="preserve">2026-04-07 10:00:00 +1000</t>
  </si>
  <si>
    <t xml:space="preserve">TC-19 | Mon 09:00–10:00 (1hr) → ⚠ FLAG: Short shift &lt;2hrs. Top-up to 2hr minimum</t>
  </si>
  <si>
    <t xml:space="preserve">Test Client T</t>
  </si>
  <si>
    <t xml:space="preserve">20 Test St, Brisbane</t>
  </si>
  <si>
    <t xml:space="preserve">Nanise Mafi</t>
  </si>
  <si>
    <t xml:space="preserve">2026-04-07 11:00:00 +1000</t>
  </si>
  <si>
    <t xml:space="preserve">TC-20 | Mon 09:00–11:00 (2hrs exactly) → No flag. Minimum satisfied</t>
  </si>
  <si>
    <t xml:space="preserve">Test Client U</t>
  </si>
  <si>
    <t xml:space="preserve">21 Test St, Brisbane</t>
  </si>
  <si>
    <t xml:space="preserve">Mackenzie Hewitt</t>
  </si>
  <si>
    <t xml:space="preserve">2026-04-07 20:00:00 +1000</t>
  </si>
  <si>
    <t xml:space="preserve">TC-21 | Mon 20:00–Tue 02:00 → CONTINUOUS (Weekday→Weekday) single Night rate</t>
  </si>
  <si>
    <t xml:space="preserve">Test Client V</t>
  </si>
  <si>
    <t xml:space="preserve">22 Test St, Brisbane</t>
  </si>
  <si>
    <t xml:space="preserve">Jacinta Gichuhi</t>
  </si>
  <si>
    <t xml:space="preserve">2026-04-10 22:00:00 +1000</t>
  </si>
  <si>
    <t xml:space="preserve">TC-22 | Fri 22:00–Sat 06:00 → ⚡ SPLIT at midnight. Fri rate | Sat rate</t>
  </si>
  <si>
    <t xml:space="preserve">Test Client W</t>
  </si>
  <si>
    <t xml:space="preserve">23 Test St, Brisbane</t>
  </si>
  <si>
    <t xml:space="preserve">Chloe Genette Thompson</t>
  </si>
  <si>
    <t xml:space="preserve">2026-04-11 21:00:00 +1000</t>
  </si>
  <si>
    <t xml:space="preserve">2026-04-12 05:00:00 +1000</t>
  </si>
  <si>
    <t xml:space="preserve">TC-23 | Sat 21:00–Sun 05:00 → ⚡ SPLIT at midnight. Sat 200% | Sun 200%</t>
  </si>
  <si>
    <t xml:space="preserve">Test Client X</t>
  </si>
  <si>
    <t xml:space="preserve">24 Test St, Brisbane</t>
  </si>
  <si>
    <t xml:space="preserve">Clotilda Cherotich Kemei</t>
  </si>
  <si>
    <t xml:space="preserve">2026-04-12 22:00:00 +1000</t>
  </si>
  <si>
    <t xml:space="preserve">2026-04-13 06:00:00 +1000</t>
  </si>
  <si>
    <t xml:space="preserve">TC-24 | Sun 22:00–Mon 06:00 → ⚡ SPLIT. Sun 200% pre-midnight | Weekday Night post-midnight</t>
  </si>
  <si>
    <t xml:space="preserve">Test Client Y</t>
  </si>
  <si>
    <t xml:space="preserve">25 Test St, Brisbane</t>
  </si>
  <si>
    <t xml:space="preserve">Jasper Barry Wenck</t>
  </si>
  <si>
    <t xml:space="preserve">2026-04-18 20:00:00 +1000</t>
  </si>
  <si>
    <t xml:space="preserve">2026-04-19 05:00:00 +1000</t>
  </si>
  <si>
    <t xml:space="preserve">TC-25 | Good Fri 20:00–Sat 05:00 → ⚡ SPLIT. PH 250% pre-midnight | Weekday Night post-midnight</t>
  </si>
  <si>
    <t xml:space="preserve">Test Client Z</t>
  </si>
  <si>
    <t xml:space="preserve">26 Test St, Brisbane</t>
  </si>
  <si>
    <t xml:space="preserve">Merin Shaju</t>
  </si>
  <si>
    <t xml:space="preserve">2026-04-07 22:00:00 +1000</t>
  </si>
  <si>
    <t xml:space="preserve">2026-04-08 06:00:00 +1000</t>
  </si>
  <si>
    <t xml:space="preserve">Sleepover</t>
  </si>
  <si>
    <t xml:space="preserve">TC-26 | Mon sleepover 22:00–06:00, 5hrs active work → Weekday Night rate. Compliant</t>
  </si>
  <si>
    <t xml:space="preserve">Test Client AA</t>
  </si>
  <si>
    <t xml:space="preserve">27 Test St, Brisbane</t>
  </si>
  <si>
    <t xml:space="preserve">Tina Hallett</t>
  </si>
  <si>
    <t xml:space="preserve">TC-27 | Mon sleepover 22:00–06:00, only 3hrs active → ⚠ FLAG: Non-compliant. Active &lt;4hrs</t>
  </si>
  <si>
    <t xml:space="preserve">Test Client BB</t>
  </si>
  <si>
    <t xml:space="preserve">28 Test St, Brisbane</t>
  </si>
  <si>
    <t xml:space="preserve">Winnie Tung</t>
  </si>
  <si>
    <t xml:space="preserve">2026-04-11 22:00:00 +1000</t>
  </si>
  <si>
    <t xml:space="preserve">TC-28 | Sat sleepover 22:00–06:00 → Saturday (Weekend) Night rate</t>
  </si>
  <si>
    <t xml:space="preserve">Test Client CC</t>
  </si>
  <si>
    <t xml:space="preserve">29 Test St, Brisbane</t>
  </si>
  <si>
    <t xml:space="preserve">Ann Mathew</t>
  </si>
  <si>
    <t xml:space="preserve">2026-04-18 22:00:00 +1000</t>
  </si>
  <si>
    <t xml:space="preserve">2026-04-19 06:00:00 +1000</t>
  </si>
  <si>
    <t xml:space="preserve">TC-29 | Good Fri sleepover 22:00–06:00 → PH 250% rate</t>
  </si>
  <si>
    <t xml:space="preserve">Test Client DD</t>
  </si>
  <si>
    <t xml:space="preserve">30 Test St, Brisbane</t>
  </si>
  <si>
    <t xml:space="preserve">Kelvin Kunjumon Thomas</t>
  </si>
  <si>
    <t xml:space="preserve">TC-30 | Fortnight total = 76hrs → NO pay period OT (boundary, not exceeded)</t>
  </si>
  <si>
    <t xml:space="preserve">Test Client EE</t>
  </si>
  <si>
    <t xml:space="preserve">31 Test St, Brisbane</t>
  </si>
  <si>
    <t xml:space="preserve">Rizalyn Acero</t>
  </si>
  <si>
    <t xml:space="preserve">TC-31 | Fortnight total = 80hrs → 4hrs pay period OT at day-type rate of last shift</t>
  </si>
  <si>
    <t xml:space="preserve">Test Client FF</t>
  </si>
  <si>
    <t xml:space="preserve">32 Test St, Brisbane</t>
  </si>
  <si>
    <t xml:space="preserve">Timothy Goodwin</t>
  </si>
  <si>
    <t xml:space="preserve">TC-32 | Mon start exactly 06:00 → Morning band (Night band ends at 05:59)</t>
  </si>
  <si>
    <t xml:space="preserve">Test Client GG</t>
  </si>
  <si>
    <t xml:space="preserve">33 Test St, Brisbane</t>
  </si>
  <si>
    <t xml:space="preserve">Amala Benoy</t>
  </si>
  <si>
    <t xml:space="preserve">2026-04-08 12:00:00 +1000</t>
  </si>
  <si>
    <t xml:space="preserve">TC-33 | Wed 12:00–20:00 (end exactly 20:00) → Still Morning (Aft triggers after 20:00)</t>
  </si>
  <si>
    <t xml:space="preserve">Test Client HH</t>
  </si>
  <si>
    <t xml:space="preserve">34 Test St, Brisbane</t>
  </si>
  <si>
    <t xml:space="preserve">Nora John</t>
  </si>
  <si>
    <t xml:space="preserve">2026-04-09 12:00:00 +1000</t>
  </si>
  <si>
    <t xml:space="preserve">2026-04-09 20:01:00 +1000</t>
  </si>
  <si>
    <t xml:space="preserve">TC-34 | Thu 12:00–20:01 → Crosses 20:00 boundary → Afternoon escalation triggered</t>
  </si>
  <si>
    <t xml:space="preserve">Test Client II</t>
  </si>
  <si>
    <t xml:space="preserve">35 Test St, Brisbane</t>
  </si>
  <si>
    <t xml:space="preserve">Sonney Davis</t>
  </si>
  <si>
    <t xml:space="preserve">2026-04-07 08:00:00 +1000</t>
  </si>
  <si>
    <t xml:space="preserve">2026-04-07 22:30:00 +1000</t>
  </si>
  <si>
    <t xml:space="preserve">TC-35 | Mon broken 08:00–22:30, break 10:00–12:00 | Night+Daily OT+Span OT → complex multi-rule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</si>
</sst>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D8"/>
      </left>
      <right style="thin">
        <color rgb="FFBDC3D8"/>
      </right>
      <top style="thin">
        <color rgb="FFBDC3D8"/>
      </top>
      <bottom style="thin">
        <color rgb="FFBDC3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20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5" min="13" style="0" width="20"/>
    <col collapsed="false" customWidth="true" hidden="false" outlineLevel="0" max="16" min="16" style="0" width="18"/>
    <col collapsed="false" customWidth="true" hidden="false" outlineLevel="0" max="17" min="17" style="0" width="22"/>
    <col collapsed="false" customWidth="true" hidden="false" outlineLevel="0" max="18" min="18" style="0" width="20"/>
    <col collapsed="false" customWidth="true" hidden="false" outlineLevel="0" max="19" min="19" style="0" width="6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9.5" hidden="false" customHeight="true" outlineLevel="0" collapsed="false">
      <c r="A2" s="2" t="n">
        <v>148955432</v>
      </c>
      <c r="B2" s="2" t="s">
        <v>19</v>
      </c>
      <c r="C2" s="2" t="s">
        <v>20</v>
      </c>
      <c r="D2" s="2" t="s">
        <v>21</v>
      </c>
      <c r="E2" s="2" t="n">
        <v>1008413</v>
      </c>
      <c r="F2" s="2" t="s">
        <v>22</v>
      </c>
      <c r="G2" s="2" t="s">
        <v>23</v>
      </c>
      <c r="H2" s="2" t="n">
        <f aca="false">IFERROR((TIMEVALUE(MID(G2,12,5))-TIMEVALUE(MID(F2,12,5)))*24,"")</f>
        <v>8</v>
      </c>
      <c r="I2" s="2" t="n">
        <v>0</v>
      </c>
      <c r="J2" s="2" t="n">
        <v>0</v>
      </c>
      <c r="K2" s="2" t="s">
        <v>24</v>
      </c>
      <c r="L2" s="2" t="s">
        <v>25</v>
      </c>
      <c r="M2" s="2"/>
      <c r="N2" s="2" t="s">
        <v>22</v>
      </c>
      <c r="O2" s="2" t="s">
        <v>23</v>
      </c>
      <c r="P2" s="2" t="s">
        <v>26</v>
      </c>
      <c r="Q2" s="2"/>
      <c r="R2" s="2"/>
      <c r="S2" s="3" t="s">
        <v>27</v>
      </c>
    </row>
    <row r="3" customFormat="false" ht="19.5" hidden="false" customHeight="true" outlineLevel="0" collapsed="false">
      <c r="A3" s="4" t="n">
        <v>128782787</v>
      </c>
      <c r="B3" s="4" t="s">
        <v>28</v>
      </c>
      <c r="C3" s="4" t="s">
        <v>29</v>
      </c>
      <c r="D3" s="4" t="s">
        <v>30</v>
      </c>
      <c r="E3" s="4" t="n">
        <v>786113</v>
      </c>
      <c r="F3" s="4" t="s">
        <v>31</v>
      </c>
      <c r="G3" s="4" t="s">
        <v>32</v>
      </c>
      <c r="H3" s="4" t="n">
        <f aca="false">IFERROR((TIMEVALUE(MID(G3,12,5))-TIMEVALUE(MID(F3,12,5)))*24,"")</f>
        <v>8</v>
      </c>
      <c r="I3" s="4" t="n">
        <v>0</v>
      </c>
      <c r="J3" s="4" t="n">
        <v>0</v>
      </c>
      <c r="K3" s="4" t="s">
        <v>24</v>
      </c>
      <c r="L3" s="4" t="s">
        <v>25</v>
      </c>
      <c r="M3" s="4"/>
      <c r="N3" s="4" t="s">
        <v>31</v>
      </c>
      <c r="O3" s="4" t="s">
        <v>32</v>
      </c>
      <c r="P3" s="4" t="s">
        <v>26</v>
      </c>
      <c r="Q3" s="4"/>
      <c r="R3" s="4"/>
      <c r="S3" s="5" t="s">
        <v>33</v>
      </c>
    </row>
    <row r="4" customFormat="false" ht="19.5" hidden="false" customHeight="true" outlineLevel="0" collapsed="false">
      <c r="A4" s="2" t="n">
        <v>128750730</v>
      </c>
      <c r="B4" s="2" t="s">
        <v>34</v>
      </c>
      <c r="C4" s="2" t="s">
        <v>35</v>
      </c>
      <c r="D4" s="2" t="s">
        <v>36</v>
      </c>
      <c r="E4" s="2" t="n">
        <v>343527</v>
      </c>
      <c r="F4" s="2" t="s">
        <v>37</v>
      </c>
      <c r="G4" s="2" t="s">
        <v>38</v>
      </c>
      <c r="H4" s="2" t="n">
        <f aca="false">IFERROR((TIMEVALUE(MID(G4,12,5))-TIMEVALUE(MID(F4,12,5)))*24,"")</f>
        <v>3</v>
      </c>
      <c r="I4" s="2" t="n">
        <v>0</v>
      </c>
      <c r="J4" s="2" t="n">
        <v>0</v>
      </c>
      <c r="K4" s="2" t="s">
        <v>24</v>
      </c>
      <c r="L4" s="2" t="s">
        <v>25</v>
      </c>
      <c r="M4" s="2"/>
      <c r="N4" s="2" t="s">
        <v>37</v>
      </c>
      <c r="O4" s="2" t="s">
        <v>38</v>
      </c>
      <c r="P4" s="2" t="s">
        <v>26</v>
      </c>
      <c r="Q4" s="2"/>
      <c r="R4" s="2"/>
      <c r="S4" s="3" t="s">
        <v>39</v>
      </c>
    </row>
    <row r="5" customFormat="false" ht="19.5" hidden="false" customHeight="true" outlineLevel="0" collapsed="false">
      <c r="A5" s="4" t="n">
        <v>139909092</v>
      </c>
      <c r="B5" s="4" t="s">
        <v>40</v>
      </c>
      <c r="C5" s="4" t="s">
        <v>41</v>
      </c>
      <c r="D5" s="4" t="s">
        <v>42</v>
      </c>
      <c r="E5" s="4" t="n">
        <v>1015352</v>
      </c>
      <c r="F5" s="4" t="s">
        <v>43</v>
      </c>
      <c r="G5" s="4" t="s">
        <v>44</v>
      </c>
      <c r="H5" s="4" t="n">
        <f aca="false">IFERROR((TIMEVALUE(MID(G5,12,5))-TIMEVALUE(MID(F5,12,5)))*24,"")</f>
        <v>8</v>
      </c>
      <c r="I5" s="4" t="n">
        <v>0</v>
      </c>
      <c r="J5" s="4" t="n">
        <v>0</v>
      </c>
      <c r="K5" s="4" t="s">
        <v>24</v>
      </c>
      <c r="L5" s="4" t="s">
        <v>25</v>
      </c>
      <c r="M5" s="4"/>
      <c r="N5" s="4" t="s">
        <v>43</v>
      </c>
      <c r="O5" s="4" t="s">
        <v>44</v>
      </c>
      <c r="P5" s="4" t="s">
        <v>26</v>
      </c>
      <c r="Q5" s="4"/>
      <c r="R5" s="4"/>
      <c r="S5" s="5" t="s">
        <v>45</v>
      </c>
    </row>
    <row r="6" customFormat="false" ht="19.5" hidden="false" customHeight="true" outlineLevel="0" collapsed="false">
      <c r="A6" s="2" t="n">
        <v>128773330</v>
      </c>
      <c r="B6" s="2" t="s">
        <v>46</v>
      </c>
      <c r="C6" s="2" t="s">
        <v>47</v>
      </c>
      <c r="D6" s="2" t="s">
        <v>48</v>
      </c>
      <c r="E6" s="2" t="n">
        <v>535159</v>
      </c>
      <c r="F6" s="2" t="s">
        <v>49</v>
      </c>
      <c r="G6" s="2" t="s">
        <v>50</v>
      </c>
      <c r="H6" s="2" t="n">
        <f aca="false">IFERROR((TIMEVALUE(MID(G6,12,5))-TIMEVALUE(MID(F6,12,5)))*24,"")</f>
        <v>-9</v>
      </c>
      <c r="I6" s="2" t="n">
        <v>0</v>
      </c>
      <c r="J6" s="2" t="n">
        <v>0</v>
      </c>
      <c r="K6" s="2" t="s">
        <v>24</v>
      </c>
      <c r="L6" s="2" t="s">
        <v>25</v>
      </c>
      <c r="M6" s="2"/>
      <c r="N6" s="2" t="s">
        <v>49</v>
      </c>
      <c r="O6" s="2" t="s">
        <v>50</v>
      </c>
      <c r="P6" s="2" t="s">
        <v>26</v>
      </c>
      <c r="Q6" s="2"/>
      <c r="R6" s="2"/>
      <c r="S6" s="3" t="s">
        <v>51</v>
      </c>
    </row>
    <row r="7" customFormat="false" ht="19.5" hidden="false" customHeight="true" outlineLevel="0" collapsed="false">
      <c r="A7" s="4" t="n">
        <v>130982531</v>
      </c>
      <c r="B7" s="4" t="s">
        <v>52</v>
      </c>
      <c r="C7" s="4" t="s">
        <v>53</v>
      </c>
      <c r="D7" s="4" t="s">
        <v>54</v>
      </c>
      <c r="E7" s="4" t="n">
        <v>886192</v>
      </c>
      <c r="F7" s="4" t="s">
        <v>55</v>
      </c>
      <c r="G7" s="4" t="s">
        <v>56</v>
      </c>
      <c r="H7" s="4" t="n">
        <f aca="false">IFERROR((TIMEVALUE(MID(G7,12,5))-TIMEVALUE(MID(F7,12,5)))*24,"")</f>
        <v>-16</v>
      </c>
      <c r="I7" s="4" t="n">
        <v>0</v>
      </c>
      <c r="J7" s="4" t="n">
        <v>0</v>
      </c>
      <c r="K7" s="4" t="s">
        <v>24</v>
      </c>
      <c r="L7" s="4" t="s">
        <v>25</v>
      </c>
      <c r="M7" s="4"/>
      <c r="N7" s="4" t="s">
        <v>55</v>
      </c>
      <c r="O7" s="4" t="s">
        <v>56</v>
      </c>
      <c r="P7" s="4" t="s">
        <v>26</v>
      </c>
      <c r="Q7" s="4"/>
      <c r="R7" s="4"/>
      <c r="S7" s="5" t="s">
        <v>57</v>
      </c>
    </row>
    <row r="8" customFormat="false" ht="19.5" hidden="false" customHeight="true" outlineLevel="0" collapsed="false">
      <c r="A8" s="2" t="n">
        <v>128759777</v>
      </c>
      <c r="B8" s="2" t="s">
        <v>58</v>
      </c>
      <c r="C8" s="2" t="s">
        <v>59</v>
      </c>
      <c r="D8" s="2" t="s">
        <v>60</v>
      </c>
      <c r="E8" s="2" t="n">
        <v>907169</v>
      </c>
      <c r="F8" s="2" t="s">
        <v>61</v>
      </c>
      <c r="G8" s="2" t="s">
        <v>62</v>
      </c>
      <c r="H8" s="2" t="n">
        <f aca="false">IFERROR((TIMEVALUE(MID(G8,12,5))-TIMEVALUE(MID(F8,12,5)))*24,"")</f>
        <v>8</v>
      </c>
      <c r="I8" s="2" t="n">
        <v>0</v>
      </c>
      <c r="J8" s="2" t="n">
        <v>0</v>
      </c>
      <c r="K8" s="2" t="s">
        <v>24</v>
      </c>
      <c r="L8" s="2" t="s">
        <v>25</v>
      </c>
      <c r="M8" s="2"/>
      <c r="N8" s="2" t="s">
        <v>61</v>
      </c>
      <c r="O8" s="2" t="s">
        <v>62</v>
      </c>
      <c r="P8" s="2" t="s">
        <v>26</v>
      </c>
      <c r="Q8" s="2"/>
      <c r="R8" s="2"/>
      <c r="S8" s="3" t="s">
        <v>63</v>
      </c>
    </row>
    <row r="9" customFormat="false" ht="19.5" hidden="false" customHeight="true" outlineLevel="0" collapsed="false">
      <c r="A9" s="4" t="n">
        <v>133587594</v>
      </c>
      <c r="B9" s="4" t="s">
        <v>64</v>
      </c>
      <c r="C9" s="4" t="s">
        <v>65</v>
      </c>
      <c r="D9" s="4" t="s">
        <v>66</v>
      </c>
      <c r="E9" s="4" t="n">
        <v>458527</v>
      </c>
      <c r="F9" s="4" t="s">
        <v>67</v>
      </c>
      <c r="G9" s="4" t="s">
        <v>68</v>
      </c>
      <c r="H9" s="4" t="n">
        <f aca="false">IFERROR((TIMEVALUE(MID(G9,12,5))-TIMEVALUE(MID(F9,12,5)))*24,"")</f>
        <v>8</v>
      </c>
      <c r="I9" s="4" t="n">
        <v>0</v>
      </c>
      <c r="J9" s="4" t="n">
        <v>0</v>
      </c>
      <c r="K9" s="4" t="s">
        <v>24</v>
      </c>
      <c r="L9" s="4" t="s">
        <v>25</v>
      </c>
      <c r="M9" s="4"/>
      <c r="N9" s="4" t="s">
        <v>67</v>
      </c>
      <c r="O9" s="4" t="s">
        <v>68</v>
      </c>
      <c r="P9" s="4" t="s">
        <v>26</v>
      </c>
      <c r="Q9" s="4"/>
      <c r="R9" s="4"/>
      <c r="S9" s="5" t="s">
        <v>69</v>
      </c>
    </row>
    <row r="10" customFormat="false" ht="19.5" hidden="false" customHeight="true" outlineLevel="0" collapsed="false">
      <c r="A10" s="2" t="n">
        <v>128773012</v>
      </c>
      <c r="B10" s="2" t="s">
        <v>70</v>
      </c>
      <c r="C10" s="2" t="s">
        <v>71</v>
      </c>
      <c r="D10" s="2" t="s">
        <v>72</v>
      </c>
      <c r="E10" s="2" t="n">
        <v>797440</v>
      </c>
      <c r="F10" s="2" t="s">
        <v>73</v>
      </c>
      <c r="G10" s="2" t="s">
        <v>68</v>
      </c>
      <c r="H10" s="2" t="n">
        <f aca="false">IFERROR((TIMEVALUE(MID(G10,12,5))-TIMEVALUE(MID(F10,12,5)))*24,"")</f>
        <v>11</v>
      </c>
      <c r="I10" s="2" t="n">
        <v>0</v>
      </c>
      <c r="J10" s="2" t="n">
        <v>0</v>
      </c>
      <c r="K10" s="2" t="s">
        <v>24</v>
      </c>
      <c r="L10" s="2" t="s">
        <v>25</v>
      </c>
      <c r="M10" s="2"/>
      <c r="N10" s="2" t="s">
        <v>73</v>
      </c>
      <c r="O10" s="2" t="s">
        <v>68</v>
      </c>
      <c r="P10" s="2" t="s">
        <v>26</v>
      </c>
      <c r="Q10" s="2"/>
      <c r="R10" s="2"/>
      <c r="S10" s="3" t="s">
        <v>74</v>
      </c>
    </row>
    <row r="11" customFormat="false" ht="19.5" hidden="false" customHeight="true" outlineLevel="0" collapsed="false">
      <c r="A11" s="4" t="n">
        <v>148426295</v>
      </c>
      <c r="B11" s="4" t="s">
        <v>75</v>
      </c>
      <c r="C11" s="4" t="s">
        <v>76</v>
      </c>
      <c r="D11" s="4" t="s">
        <v>77</v>
      </c>
      <c r="E11" s="4" t="n">
        <v>402542</v>
      </c>
      <c r="F11" s="4" t="s">
        <v>78</v>
      </c>
      <c r="G11" s="4" t="s">
        <v>79</v>
      </c>
      <c r="H11" s="4" t="n">
        <f aca="false">IFERROR((TIMEVALUE(MID(G11,12,5))-TIMEVALUE(MID(F11,12,5)))*24,"")</f>
        <v>8</v>
      </c>
      <c r="I11" s="4" t="n">
        <v>0</v>
      </c>
      <c r="J11" s="4" t="n">
        <v>0</v>
      </c>
      <c r="K11" s="4" t="s">
        <v>24</v>
      </c>
      <c r="L11" s="4" t="s">
        <v>25</v>
      </c>
      <c r="M11" s="4"/>
      <c r="N11" s="4" t="s">
        <v>78</v>
      </c>
      <c r="O11" s="4" t="s">
        <v>79</v>
      </c>
      <c r="P11" s="4" t="s">
        <v>26</v>
      </c>
      <c r="Q11" s="4"/>
      <c r="R11" s="4"/>
      <c r="S11" s="5" t="s">
        <v>80</v>
      </c>
    </row>
    <row r="12" customFormat="false" ht="19.5" hidden="false" customHeight="true" outlineLevel="0" collapsed="false">
      <c r="A12" s="2" t="n">
        <v>148427278</v>
      </c>
      <c r="B12" s="2" t="s">
        <v>81</v>
      </c>
      <c r="C12" s="2" t="s">
        <v>82</v>
      </c>
      <c r="D12" s="2" t="s">
        <v>83</v>
      </c>
      <c r="E12" s="2" t="n">
        <v>1016147</v>
      </c>
      <c r="F12" s="2" t="s">
        <v>84</v>
      </c>
      <c r="G12" s="2" t="s">
        <v>85</v>
      </c>
      <c r="H12" s="2" t="n">
        <f aca="false">IFERROR((TIMEVALUE(MID(G12,12,5))-TIMEVALUE(MID(F12,12,5)))*24,"")</f>
        <v>11</v>
      </c>
      <c r="I12" s="2" t="n">
        <v>0</v>
      </c>
      <c r="J12" s="2" t="n">
        <v>0</v>
      </c>
      <c r="K12" s="2" t="s">
        <v>24</v>
      </c>
      <c r="L12" s="2" t="s">
        <v>25</v>
      </c>
      <c r="M12" s="2"/>
      <c r="N12" s="2" t="s">
        <v>84</v>
      </c>
      <c r="O12" s="2" t="s">
        <v>85</v>
      </c>
      <c r="P12" s="2" t="s">
        <v>26</v>
      </c>
      <c r="Q12" s="2"/>
      <c r="R12" s="2"/>
      <c r="S12" s="3" t="s">
        <v>86</v>
      </c>
    </row>
    <row r="13" customFormat="false" ht="19.5" hidden="false" customHeight="true" outlineLevel="0" collapsed="false">
      <c r="A13" s="4" t="n">
        <v>128731299</v>
      </c>
      <c r="B13" s="4" t="s">
        <v>87</v>
      </c>
      <c r="C13" s="4" t="s">
        <v>88</v>
      </c>
      <c r="D13" s="4" t="s">
        <v>89</v>
      </c>
      <c r="E13" s="4" t="n">
        <v>924507</v>
      </c>
      <c r="F13" s="4" t="s">
        <v>22</v>
      </c>
      <c r="G13" s="4" t="s">
        <v>90</v>
      </c>
      <c r="H13" s="4" t="n">
        <f aca="false">IFERROR((TIMEVALUE(MID(G13,12,5))-TIMEVALUE(MID(F13,12,5)))*24,"")</f>
        <v>10</v>
      </c>
      <c r="I13" s="4" t="n">
        <v>0</v>
      </c>
      <c r="J13" s="4" t="n">
        <v>0</v>
      </c>
      <c r="K13" s="4" t="s">
        <v>24</v>
      </c>
      <c r="L13" s="4" t="s">
        <v>25</v>
      </c>
      <c r="M13" s="4"/>
      <c r="N13" s="4" t="s">
        <v>22</v>
      </c>
      <c r="O13" s="4" t="s">
        <v>90</v>
      </c>
      <c r="P13" s="4" t="s">
        <v>26</v>
      </c>
      <c r="Q13" s="4"/>
      <c r="R13" s="4"/>
      <c r="S13" s="5" t="s">
        <v>91</v>
      </c>
    </row>
    <row r="14" customFormat="false" ht="19.5" hidden="false" customHeight="true" outlineLevel="0" collapsed="false">
      <c r="A14" s="2" t="n">
        <v>128765852</v>
      </c>
      <c r="B14" s="2" t="s">
        <v>92</v>
      </c>
      <c r="C14" s="2" t="s">
        <v>93</v>
      </c>
      <c r="D14" s="2" t="s">
        <v>94</v>
      </c>
      <c r="E14" s="2" t="n">
        <v>579408</v>
      </c>
      <c r="F14" s="2" t="s">
        <v>22</v>
      </c>
      <c r="G14" s="2" t="s">
        <v>95</v>
      </c>
      <c r="H14" s="2" t="n">
        <f aca="false">IFERROR((TIMEVALUE(MID(G14,12,5))-TIMEVALUE(MID(F14,12,5)))*24,"")</f>
        <v>11</v>
      </c>
      <c r="I14" s="2" t="n">
        <v>0</v>
      </c>
      <c r="J14" s="2" t="n">
        <v>0</v>
      </c>
      <c r="K14" s="2" t="s">
        <v>24</v>
      </c>
      <c r="L14" s="2" t="s">
        <v>25</v>
      </c>
      <c r="M14" s="2"/>
      <c r="N14" s="2" t="s">
        <v>22</v>
      </c>
      <c r="O14" s="2" t="s">
        <v>95</v>
      </c>
      <c r="P14" s="2" t="s">
        <v>26</v>
      </c>
      <c r="Q14" s="2"/>
      <c r="R14" s="2"/>
      <c r="S14" s="3" t="s">
        <v>96</v>
      </c>
    </row>
    <row r="15" customFormat="false" ht="19.5" hidden="false" customHeight="true" outlineLevel="0" collapsed="false">
      <c r="A15" s="4" t="n">
        <v>128772869</v>
      </c>
      <c r="B15" s="4" t="s">
        <v>97</v>
      </c>
      <c r="C15" s="4" t="s">
        <v>98</v>
      </c>
      <c r="D15" s="4" t="s">
        <v>99</v>
      </c>
      <c r="E15" s="4" t="n">
        <v>519949</v>
      </c>
      <c r="F15" s="4" t="s">
        <v>22</v>
      </c>
      <c r="G15" s="4" t="s">
        <v>100</v>
      </c>
      <c r="H15" s="4" t="n">
        <f aca="false">IFERROR((TIMEVALUE(MID(G15,12,5))-TIMEVALUE(MID(F15,12,5)))*24,"")</f>
        <v>13</v>
      </c>
      <c r="I15" s="4" t="n">
        <v>0</v>
      </c>
      <c r="J15" s="4" t="n">
        <v>0</v>
      </c>
      <c r="K15" s="4" t="s">
        <v>24</v>
      </c>
      <c r="L15" s="4" t="s">
        <v>25</v>
      </c>
      <c r="M15" s="4"/>
      <c r="N15" s="4" t="s">
        <v>22</v>
      </c>
      <c r="O15" s="4" t="s">
        <v>100</v>
      </c>
      <c r="P15" s="4" t="s">
        <v>26</v>
      </c>
      <c r="Q15" s="4"/>
      <c r="R15" s="4"/>
      <c r="S15" s="5" t="s">
        <v>101</v>
      </c>
    </row>
    <row r="16" customFormat="false" ht="19.5" hidden="false" customHeight="true" outlineLevel="0" collapsed="false">
      <c r="A16" s="2" t="n">
        <v>139566121</v>
      </c>
      <c r="B16" s="2" t="s">
        <v>102</v>
      </c>
      <c r="C16" s="2" t="s">
        <v>103</v>
      </c>
      <c r="D16" s="2" t="s">
        <v>104</v>
      </c>
      <c r="E16" s="2" t="n">
        <v>579377</v>
      </c>
      <c r="F16" s="2" t="s">
        <v>105</v>
      </c>
      <c r="G16" s="2" t="s">
        <v>106</v>
      </c>
      <c r="H16" s="2" t="n">
        <f aca="false">IFERROR((TIMEVALUE(MID(G16,12,5))-TIMEVALUE(MID(F16,12,5)))*24,"")</f>
        <v>11</v>
      </c>
      <c r="I16" s="2" t="n">
        <v>0</v>
      </c>
      <c r="J16" s="2" t="n">
        <v>0</v>
      </c>
      <c r="K16" s="2" t="s">
        <v>24</v>
      </c>
      <c r="L16" s="2" t="s">
        <v>25</v>
      </c>
      <c r="M16" s="2"/>
      <c r="N16" s="2" t="s">
        <v>105</v>
      </c>
      <c r="O16" s="2" t="s">
        <v>106</v>
      </c>
      <c r="P16" s="2" t="s">
        <v>26</v>
      </c>
      <c r="Q16" s="2"/>
      <c r="R16" s="2"/>
      <c r="S16" s="3" t="s">
        <v>107</v>
      </c>
    </row>
    <row r="17" customFormat="false" ht="19.5" hidden="false" customHeight="true" outlineLevel="0" collapsed="false">
      <c r="A17" s="4" t="n">
        <v>128731451</v>
      </c>
      <c r="B17" s="4" t="s">
        <v>108</v>
      </c>
      <c r="C17" s="4" t="s">
        <v>109</v>
      </c>
      <c r="D17" s="4" t="s">
        <v>110</v>
      </c>
      <c r="E17" s="4" t="n">
        <v>920968</v>
      </c>
      <c r="F17" s="4" t="s">
        <v>22</v>
      </c>
      <c r="G17" s="4" t="s">
        <v>55</v>
      </c>
      <c r="H17" s="4" t="n">
        <f aca="false">IFERROR((TIMEVALUE(MID(G17,12,5))-TIMEVALUE(MID(F17,12,5)))*24,"")</f>
        <v>12</v>
      </c>
      <c r="I17" s="4" t="n">
        <v>0</v>
      </c>
      <c r="J17" s="4" t="n">
        <v>0</v>
      </c>
      <c r="K17" s="4" t="s">
        <v>24</v>
      </c>
      <c r="L17" s="4" t="s">
        <v>25</v>
      </c>
      <c r="M17" s="4"/>
      <c r="N17" s="4" t="s">
        <v>22</v>
      </c>
      <c r="O17" s="4" t="s">
        <v>55</v>
      </c>
      <c r="P17" s="4" t="s">
        <v>26</v>
      </c>
      <c r="Q17" s="4"/>
      <c r="R17" s="4"/>
      <c r="S17" s="5" t="s">
        <v>111</v>
      </c>
    </row>
    <row r="18" customFormat="false" ht="19.5" hidden="false" customHeight="true" outlineLevel="0" collapsed="false">
      <c r="A18" s="2" t="n">
        <v>148460176</v>
      </c>
      <c r="B18" s="2" t="s">
        <v>112</v>
      </c>
      <c r="C18" s="2" t="s">
        <v>113</v>
      </c>
      <c r="D18" s="2" t="s">
        <v>114</v>
      </c>
      <c r="E18" s="2" t="n">
        <v>982612</v>
      </c>
      <c r="F18" s="2" t="s">
        <v>22</v>
      </c>
      <c r="G18" s="2" t="s">
        <v>100</v>
      </c>
      <c r="H18" s="2" t="n">
        <f aca="false">IFERROR((TIMEVALUE(MID(G18,12,5))-TIMEVALUE(MID(F18,12,5)))*24,"")</f>
        <v>13</v>
      </c>
      <c r="I18" s="2" t="n">
        <v>0</v>
      </c>
      <c r="J18" s="2" t="n">
        <v>0</v>
      </c>
      <c r="K18" s="2" t="s">
        <v>24</v>
      </c>
      <c r="L18" s="2" t="s">
        <v>25</v>
      </c>
      <c r="M18" s="2"/>
      <c r="N18" s="2" t="s">
        <v>22</v>
      </c>
      <c r="O18" s="2" t="s">
        <v>100</v>
      </c>
      <c r="P18" s="2" t="s">
        <v>26</v>
      </c>
      <c r="Q18" s="2"/>
      <c r="R18" s="2"/>
      <c r="S18" s="3" t="s">
        <v>115</v>
      </c>
    </row>
    <row r="19" customFormat="false" ht="19.5" hidden="false" customHeight="true" outlineLevel="0" collapsed="false">
      <c r="A19" s="4" t="n">
        <v>139566572</v>
      </c>
      <c r="B19" s="4" t="s">
        <v>116</v>
      </c>
      <c r="C19" s="4" t="s">
        <v>117</v>
      </c>
      <c r="D19" s="4" t="s">
        <v>118</v>
      </c>
      <c r="E19" s="4" t="n">
        <v>899840</v>
      </c>
      <c r="F19" s="4" t="s">
        <v>105</v>
      </c>
      <c r="G19" s="4" t="s">
        <v>119</v>
      </c>
      <c r="H19" s="4" t="n">
        <f aca="false">IFERROR((TIMEVALUE(MID(G19,12,5))-TIMEVALUE(MID(F19,12,5)))*24,"")</f>
        <v>13</v>
      </c>
      <c r="I19" s="4" t="n">
        <v>0</v>
      </c>
      <c r="J19" s="4" t="n">
        <v>0</v>
      </c>
      <c r="K19" s="4" t="s">
        <v>24</v>
      </c>
      <c r="L19" s="4" t="s">
        <v>25</v>
      </c>
      <c r="M19" s="4"/>
      <c r="N19" s="4" t="s">
        <v>105</v>
      </c>
      <c r="O19" s="4" t="s">
        <v>119</v>
      </c>
      <c r="P19" s="4" t="s">
        <v>26</v>
      </c>
      <c r="Q19" s="4"/>
      <c r="R19" s="4"/>
      <c r="S19" s="5" t="s">
        <v>120</v>
      </c>
    </row>
    <row r="20" customFormat="false" ht="19.5" hidden="false" customHeight="true" outlineLevel="0" collapsed="false">
      <c r="A20" s="2" t="n">
        <v>152195378</v>
      </c>
      <c r="B20" s="2" t="s">
        <v>121</v>
      </c>
      <c r="C20" s="2" t="s">
        <v>122</v>
      </c>
      <c r="D20" s="2" t="s">
        <v>123</v>
      </c>
      <c r="E20" s="2" t="n">
        <v>169080</v>
      </c>
      <c r="F20" s="2" t="s">
        <v>124</v>
      </c>
      <c r="G20" s="2" t="s">
        <v>125</v>
      </c>
      <c r="H20" s="2" t="n">
        <f aca="false">IFERROR((TIMEVALUE(MID(G20,12,5))-TIMEVALUE(MID(F20,12,5)))*24,"")</f>
        <v>1</v>
      </c>
      <c r="I20" s="2" t="n">
        <v>0</v>
      </c>
      <c r="J20" s="2" t="n">
        <v>0</v>
      </c>
      <c r="K20" s="2" t="s">
        <v>24</v>
      </c>
      <c r="L20" s="2" t="s">
        <v>25</v>
      </c>
      <c r="M20" s="2"/>
      <c r="N20" s="2" t="s">
        <v>124</v>
      </c>
      <c r="O20" s="2" t="s">
        <v>125</v>
      </c>
      <c r="P20" s="2" t="s">
        <v>26</v>
      </c>
      <c r="Q20" s="2"/>
      <c r="R20" s="2"/>
      <c r="S20" s="3" t="s">
        <v>126</v>
      </c>
    </row>
    <row r="21" customFormat="false" ht="19.5" hidden="false" customHeight="true" outlineLevel="0" collapsed="false">
      <c r="A21" s="4" t="n">
        <v>139882565</v>
      </c>
      <c r="B21" s="4" t="s">
        <v>127</v>
      </c>
      <c r="C21" s="4" t="s">
        <v>128</v>
      </c>
      <c r="D21" s="4" t="s">
        <v>129</v>
      </c>
      <c r="E21" s="4" t="n">
        <v>968381</v>
      </c>
      <c r="F21" s="4" t="s">
        <v>124</v>
      </c>
      <c r="G21" s="4" t="s">
        <v>130</v>
      </c>
      <c r="H21" s="4" t="n">
        <f aca="false">IFERROR((TIMEVALUE(MID(G21,12,5))-TIMEVALUE(MID(F21,12,5)))*24,"")</f>
        <v>2</v>
      </c>
      <c r="I21" s="4" t="n">
        <v>0</v>
      </c>
      <c r="J21" s="4" t="n">
        <v>0</v>
      </c>
      <c r="K21" s="4" t="s">
        <v>24</v>
      </c>
      <c r="L21" s="4" t="s">
        <v>25</v>
      </c>
      <c r="M21" s="4"/>
      <c r="N21" s="4" t="s">
        <v>124</v>
      </c>
      <c r="O21" s="4" t="s">
        <v>130</v>
      </c>
      <c r="P21" s="4" t="s">
        <v>26</v>
      </c>
      <c r="Q21" s="4"/>
      <c r="R21" s="4"/>
      <c r="S21" s="5" t="s">
        <v>131</v>
      </c>
    </row>
    <row r="22" customFormat="false" ht="19.5" hidden="false" customHeight="true" outlineLevel="0" collapsed="false">
      <c r="A22" s="2" t="n">
        <v>128764096</v>
      </c>
      <c r="B22" s="2" t="s">
        <v>132</v>
      </c>
      <c r="C22" s="2" t="s">
        <v>133</v>
      </c>
      <c r="D22" s="2" t="s">
        <v>134</v>
      </c>
      <c r="E22" s="2" t="n">
        <v>761013</v>
      </c>
      <c r="F22" s="2" t="s">
        <v>135</v>
      </c>
      <c r="G22" s="2" t="s">
        <v>56</v>
      </c>
      <c r="H22" s="2" t="n">
        <f aca="false">IFERROR((TIMEVALUE(MID(G22,12,5))-TIMEVALUE(MID(F22,12,5)))*24,"")</f>
        <v>-18</v>
      </c>
      <c r="I22" s="2" t="n">
        <v>0</v>
      </c>
      <c r="J22" s="2" t="n">
        <v>0</v>
      </c>
      <c r="K22" s="2" t="s">
        <v>24</v>
      </c>
      <c r="L22" s="2" t="s">
        <v>25</v>
      </c>
      <c r="M22" s="2"/>
      <c r="N22" s="2" t="s">
        <v>135</v>
      </c>
      <c r="O22" s="2" t="s">
        <v>56</v>
      </c>
      <c r="P22" s="2" t="s">
        <v>26</v>
      </c>
      <c r="Q22" s="2"/>
      <c r="R22" s="2"/>
      <c r="S22" s="3" t="s">
        <v>136</v>
      </c>
    </row>
    <row r="23" customFormat="false" ht="19.5" hidden="false" customHeight="true" outlineLevel="0" collapsed="false">
      <c r="A23" s="4" t="n">
        <v>125678515</v>
      </c>
      <c r="B23" s="4" t="s">
        <v>137</v>
      </c>
      <c r="C23" s="4" t="s">
        <v>138</v>
      </c>
      <c r="D23" s="4" t="s">
        <v>139</v>
      </c>
      <c r="E23" s="4" t="n">
        <v>369693</v>
      </c>
      <c r="F23" s="4" t="s">
        <v>140</v>
      </c>
      <c r="G23" s="4" t="s">
        <v>105</v>
      </c>
      <c r="H23" s="4" t="n">
        <f aca="false">IFERROR((TIMEVALUE(MID(G23,12,5))-TIMEVALUE(MID(F23,12,5)))*24,"")</f>
        <v>-16</v>
      </c>
      <c r="I23" s="4" t="n">
        <v>0</v>
      </c>
      <c r="J23" s="4" t="n">
        <v>0</v>
      </c>
      <c r="K23" s="4" t="s">
        <v>24</v>
      </c>
      <c r="L23" s="4" t="s">
        <v>25</v>
      </c>
      <c r="M23" s="4"/>
      <c r="N23" s="4" t="s">
        <v>140</v>
      </c>
      <c r="O23" s="4" t="s">
        <v>105</v>
      </c>
      <c r="P23" s="4" t="s">
        <v>26</v>
      </c>
      <c r="Q23" s="4"/>
      <c r="R23" s="4"/>
      <c r="S23" s="5" t="s">
        <v>141</v>
      </c>
    </row>
    <row r="24" customFormat="false" ht="19.5" hidden="false" customHeight="true" outlineLevel="0" collapsed="false">
      <c r="A24" s="2" t="n">
        <v>128766037</v>
      </c>
      <c r="B24" s="2" t="s">
        <v>142</v>
      </c>
      <c r="C24" s="2" t="s">
        <v>143</v>
      </c>
      <c r="D24" s="2" t="s">
        <v>144</v>
      </c>
      <c r="E24" s="2" t="n">
        <v>935844</v>
      </c>
      <c r="F24" s="2" t="s">
        <v>145</v>
      </c>
      <c r="G24" s="2" t="s">
        <v>146</v>
      </c>
      <c r="H24" s="2" t="n">
        <f aca="false">IFERROR((TIMEVALUE(MID(G24,12,5))-TIMEVALUE(MID(F24,12,5)))*24,"")</f>
        <v>-16</v>
      </c>
      <c r="I24" s="2" t="n">
        <v>0</v>
      </c>
      <c r="J24" s="2" t="n">
        <v>0</v>
      </c>
      <c r="K24" s="2" t="s">
        <v>24</v>
      </c>
      <c r="L24" s="2" t="s">
        <v>25</v>
      </c>
      <c r="M24" s="2"/>
      <c r="N24" s="2" t="s">
        <v>145</v>
      </c>
      <c r="O24" s="2" t="s">
        <v>146</v>
      </c>
      <c r="P24" s="2" t="s">
        <v>26</v>
      </c>
      <c r="Q24" s="2"/>
      <c r="R24" s="2"/>
      <c r="S24" s="3" t="s">
        <v>147</v>
      </c>
    </row>
    <row r="25" customFormat="false" ht="19.5" hidden="false" customHeight="true" outlineLevel="0" collapsed="false">
      <c r="A25" s="4" t="n">
        <v>130982073</v>
      </c>
      <c r="B25" s="4" t="s">
        <v>148</v>
      </c>
      <c r="C25" s="4" t="s">
        <v>149</v>
      </c>
      <c r="D25" s="4" t="s">
        <v>150</v>
      </c>
      <c r="E25" s="4" t="n">
        <v>924511</v>
      </c>
      <c r="F25" s="4" t="s">
        <v>151</v>
      </c>
      <c r="G25" s="4" t="s">
        <v>152</v>
      </c>
      <c r="H25" s="4" t="n">
        <f aca="false">IFERROR((TIMEVALUE(MID(G25,12,5))-TIMEVALUE(MID(F25,12,5)))*24,"")</f>
        <v>-16</v>
      </c>
      <c r="I25" s="4" t="n">
        <v>0</v>
      </c>
      <c r="J25" s="4" t="n">
        <v>0</v>
      </c>
      <c r="K25" s="4" t="s">
        <v>24</v>
      </c>
      <c r="L25" s="4" t="s">
        <v>25</v>
      </c>
      <c r="M25" s="4"/>
      <c r="N25" s="4" t="s">
        <v>151</v>
      </c>
      <c r="O25" s="4" t="s">
        <v>152</v>
      </c>
      <c r="P25" s="4" t="s">
        <v>26</v>
      </c>
      <c r="Q25" s="4"/>
      <c r="R25" s="4"/>
      <c r="S25" s="5" t="s">
        <v>153</v>
      </c>
    </row>
    <row r="26" customFormat="false" ht="19.5" hidden="false" customHeight="true" outlineLevel="0" collapsed="false">
      <c r="A26" s="2" t="n">
        <v>128764257</v>
      </c>
      <c r="B26" s="2" t="s">
        <v>154</v>
      </c>
      <c r="C26" s="2" t="s">
        <v>155</v>
      </c>
      <c r="D26" s="2" t="s">
        <v>156</v>
      </c>
      <c r="E26" s="2" t="n">
        <v>758640</v>
      </c>
      <c r="F26" s="2" t="s">
        <v>157</v>
      </c>
      <c r="G26" s="2" t="s">
        <v>158</v>
      </c>
      <c r="H26" s="2" t="n">
        <f aca="false">IFERROR((TIMEVALUE(MID(G26,12,5))-TIMEVALUE(MID(F26,12,5)))*24,"")</f>
        <v>-15</v>
      </c>
      <c r="I26" s="2" t="n">
        <v>0</v>
      </c>
      <c r="J26" s="2" t="n">
        <v>0</v>
      </c>
      <c r="K26" s="2" t="s">
        <v>24</v>
      </c>
      <c r="L26" s="2" t="s">
        <v>25</v>
      </c>
      <c r="M26" s="2"/>
      <c r="N26" s="2" t="s">
        <v>157</v>
      </c>
      <c r="O26" s="2" t="s">
        <v>158</v>
      </c>
      <c r="P26" s="2" t="s">
        <v>26</v>
      </c>
      <c r="Q26" s="2"/>
      <c r="R26" s="2"/>
      <c r="S26" s="3" t="s">
        <v>159</v>
      </c>
    </row>
    <row r="27" customFormat="false" ht="19.5" hidden="false" customHeight="true" outlineLevel="0" collapsed="false">
      <c r="A27" s="4" t="n">
        <v>139883485</v>
      </c>
      <c r="B27" s="4" t="s">
        <v>160</v>
      </c>
      <c r="C27" s="4" t="s">
        <v>161</v>
      </c>
      <c r="D27" s="4" t="s">
        <v>162</v>
      </c>
      <c r="E27" s="4" t="n">
        <v>1011630</v>
      </c>
      <c r="F27" s="4" t="s">
        <v>163</v>
      </c>
      <c r="G27" s="4" t="s">
        <v>164</v>
      </c>
      <c r="H27" s="4" t="n">
        <f aca="false">IFERROR((TIMEVALUE(MID(G27,12,5))-TIMEVALUE(MID(F27,12,5)))*24,"")</f>
        <v>-16</v>
      </c>
      <c r="I27" s="4" t="n">
        <v>0</v>
      </c>
      <c r="J27" s="4" t="n">
        <v>0</v>
      </c>
      <c r="K27" s="4" t="s">
        <v>24</v>
      </c>
      <c r="L27" s="4" t="s">
        <v>25</v>
      </c>
      <c r="M27" s="4"/>
      <c r="N27" s="4" t="s">
        <v>163</v>
      </c>
      <c r="O27" s="4" t="s">
        <v>164</v>
      </c>
      <c r="P27" s="4" t="s">
        <v>165</v>
      </c>
      <c r="Q27" s="4"/>
      <c r="R27" s="4"/>
      <c r="S27" s="5" t="s">
        <v>166</v>
      </c>
    </row>
    <row r="28" customFormat="false" ht="19.5" hidden="false" customHeight="true" outlineLevel="0" collapsed="false">
      <c r="A28" s="2" t="n">
        <v>139752544</v>
      </c>
      <c r="B28" s="2" t="s">
        <v>167</v>
      </c>
      <c r="C28" s="2" t="s">
        <v>168</v>
      </c>
      <c r="D28" s="2" t="s">
        <v>169</v>
      </c>
      <c r="E28" s="2" t="n">
        <v>1021423</v>
      </c>
      <c r="F28" s="2" t="s">
        <v>163</v>
      </c>
      <c r="G28" s="2" t="s">
        <v>164</v>
      </c>
      <c r="H28" s="2" t="n">
        <f aca="false">IFERROR((TIMEVALUE(MID(G28,12,5))-TIMEVALUE(MID(F28,12,5)))*24,"")</f>
        <v>-16</v>
      </c>
      <c r="I28" s="2" t="n">
        <v>0</v>
      </c>
      <c r="J28" s="2" t="n">
        <v>0</v>
      </c>
      <c r="K28" s="2" t="s">
        <v>24</v>
      </c>
      <c r="L28" s="2" t="s">
        <v>25</v>
      </c>
      <c r="M28" s="2"/>
      <c r="N28" s="2" t="s">
        <v>163</v>
      </c>
      <c r="O28" s="2" t="s">
        <v>164</v>
      </c>
      <c r="P28" s="2" t="s">
        <v>165</v>
      </c>
      <c r="Q28" s="2"/>
      <c r="R28" s="2"/>
      <c r="S28" s="3" t="s">
        <v>170</v>
      </c>
    </row>
    <row r="29" customFormat="false" ht="19.5" hidden="false" customHeight="true" outlineLevel="0" collapsed="false">
      <c r="A29" s="4" t="n">
        <v>139883246</v>
      </c>
      <c r="B29" s="4" t="s">
        <v>171</v>
      </c>
      <c r="C29" s="4" t="s">
        <v>172</v>
      </c>
      <c r="D29" s="4" t="s">
        <v>173</v>
      </c>
      <c r="E29" s="4" t="n">
        <v>1021413</v>
      </c>
      <c r="F29" s="4" t="s">
        <v>174</v>
      </c>
      <c r="G29" s="4" t="s">
        <v>73</v>
      </c>
      <c r="H29" s="4" t="n">
        <f aca="false">IFERROR((TIMEVALUE(MID(G29,12,5))-TIMEVALUE(MID(F29,12,5)))*24,"")</f>
        <v>-16</v>
      </c>
      <c r="I29" s="4" t="n">
        <v>0</v>
      </c>
      <c r="J29" s="4" t="n">
        <v>0</v>
      </c>
      <c r="K29" s="4" t="s">
        <v>24</v>
      </c>
      <c r="L29" s="4" t="s">
        <v>25</v>
      </c>
      <c r="M29" s="4"/>
      <c r="N29" s="4" t="s">
        <v>174</v>
      </c>
      <c r="O29" s="4" t="s">
        <v>73</v>
      </c>
      <c r="P29" s="4" t="s">
        <v>165</v>
      </c>
      <c r="Q29" s="4"/>
      <c r="R29" s="4"/>
      <c r="S29" s="5" t="s">
        <v>175</v>
      </c>
    </row>
    <row r="30" customFormat="false" ht="19.5" hidden="false" customHeight="true" outlineLevel="0" collapsed="false">
      <c r="A30" s="2" t="n">
        <v>145186328</v>
      </c>
      <c r="B30" s="2" t="s">
        <v>176</v>
      </c>
      <c r="C30" s="2" t="s">
        <v>177</v>
      </c>
      <c r="D30" s="2" t="s">
        <v>178</v>
      </c>
      <c r="E30" s="2" t="n">
        <v>1017285</v>
      </c>
      <c r="F30" s="2" t="s">
        <v>179</v>
      </c>
      <c r="G30" s="2" t="s">
        <v>180</v>
      </c>
      <c r="H30" s="2" t="n">
        <f aca="false">IFERROR((TIMEVALUE(MID(G30,12,5))-TIMEVALUE(MID(F30,12,5)))*24,"")</f>
        <v>-16</v>
      </c>
      <c r="I30" s="2" t="n">
        <v>0</v>
      </c>
      <c r="J30" s="2" t="n">
        <v>0</v>
      </c>
      <c r="K30" s="2" t="s">
        <v>24</v>
      </c>
      <c r="L30" s="2" t="s">
        <v>25</v>
      </c>
      <c r="M30" s="2"/>
      <c r="N30" s="2" t="s">
        <v>179</v>
      </c>
      <c r="O30" s="2" t="s">
        <v>180</v>
      </c>
      <c r="P30" s="2" t="s">
        <v>165</v>
      </c>
      <c r="Q30" s="2"/>
      <c r="R30" s="2"/>
      <c r="S30" s="3" t="s">
        <v>181</v>
      </c>
    </row>
    <row r="31" customFormat="false" ht="19.5" hidden="false" customHeight="true" outlineLevel="0" collapsed="false">
      <c r="A31" s="4" t="n">
        <v>128731299</v>
      </c>
      <c r="B31" s="4" t="s">
        <v>182</v>
      </c>
      <c r="C31" s="4" t="s">
        <v>183</v>
      </c>
      <c r="D31" s="4" t="s">
        <v>184</v>
      </c>
      <c r="E31" s="4" t="n">
        <v>908328</v>
      </c>
      <c r="F31" s="4" t="s">
        <v>22</v>
      </c>
      <c r="G31" s="4" t="s">
        <v>23</v>
      </c>
      <c r="H31" s="4" t="n">
        <f aca="false">IFERROR((TIMEVALUE(MID(G31,12,5))-TIMEVALUE(MID(F31,12,5)))*24,"")</f>
        <v>8</v>
      </c>
      <c r="I31" s="4" t="n">
        <v>0</v>
      </c>
      <c r="J31" s="4" t="n">
        <v>0</v>
      </c>
      <c r="K31" s="4" t="s">
        <v>24</v>
      </c>
      <c r="L31" s="4" t="s">
        <v>25</v>
      </c>
      <c r="M31" s="4"/>
      <c r="N31" s="4" t="s">
        <v>22</v>
      </c>
      <c r="O31" s="4" t="s">
        <v>23</v>
      </c>
      <c r="P31" s="4" t="s">
        <v>26</v>
      </c>
      <c r="Q31" s="4"/>
      <c r="R31" s="4"/>
      <c r="S31" s="5" t="s">
        <v>185</v>
      </c>
    </row>
    <row r="32" customFormat="false" ht="19.5" hidden="false" customHeight="true" outlineLevel="0" collapsed="false">
      <c r="A32" s="2" t="n">
        <v>128765852</v>
      </c>
      <c r="B32" s="2" t="s">
        <v>186</v>
      </c>
      <c r="C32" s="2" t="s">
        <v>187</v>
      </c>
      <c r="D32" s="2" t="s">
        <v>188</v>
      </c>
      <c r="E32" s="2" t="n">
        <v>224263</v>
      </c>
      <c r="F32" s="2" t="s">
        <v>22</v>
      </c>
      <c r="G32" s="2" t="s">
        <v>23</v>
      </c>
      <c r="H32" s="2" t="n">
        <f aca="false">IFERROR((TIMEVALUE(MID(G32,12,5))-TIMEVALUE(MID(F32,12,5)))*24,"")</f>
        <v>8</v>
      </c>
      <c r="I32" s="2" t="n">
        <v>0</v>
      </c>
      <c r="J32" s="2" t="n">
        <v>0</v>
      </c>
      <c r="K32" s="2" t="s">
        <v>24</v>
      </c>
      <c r="L32" s="2" t="s">
        <v>25</v>
      </c>
      <c r="M32" s="2"/>
      <c r="N32" s="2" t="s">
        <v>22</v>
      </c>
      <c r="O32" s="2" t="s">
        <v>23</v>
      </c>
      <c r="P32" s="2" t="s">
        <v>26</v>
      </c>
      <c r="Q32" s="2"/>
      <c r="R32" s="2"/>
      <c r="S32" s="3" t="s">
        <v>189</v>
      </c>
    </row>
    <row r="33" customFormat="false" ht="19.5" hidden="false" customHeight="true" outlineLevel="0" collapsed="false">
      <c r="A33" s="4" t="n">
        <v>139752256</v>
      </c>
      <c r="B33" s="4" t="s">
        <v>190</v>
      </c>
      <c r="C33" s="4" t="s">
        <v>191</v>
      </c>
      <c r="D33" s="4" t="s">
        <v>192</v>
      </c>
      <c r="E33" s="4" t="n">
        <v>911647</v>
      </c>
      <c r="F33" s="4" t="s">
        <v>22</v>
      </c>
      <c r="G33" s="4" t="s">
        <v>23</v>
      </c>
      <c r="H33" s="4" t="n">
        <f aca="false">IFERROR((TIMEVALUE(MID(G33,12,5))-TIMEVALUE(MID(F33,12,5)))*24,"")</f>
        <v>8</v>
      </c>
      <c r="I33" s="4" t="n">
        <v>0</v>
      </c>
      <c r="J33" s="4" t="n">
        <v>0</v>
      </c>
      <c r="K33" s="4" t="s">
        <v>24</v>
      </c>
      <c r="L33" s="4" t="s">
        <v>25</v>
      </c>
      <c r="M33" s="4"/>
      <c r="N33" s="4" t="s">
        <v>22</v>
      </c>
      <c r="O33" s="4" t="s">
        <v>23</v>
      </c>
      <c r="P33" s="4" t="s">
        <v>26</v>
      </c>
      <c r="Q33" s="4"/>
      <c r="R33" s="4"/>
      <c r="S33" s="5" t="s">
        <v>193</v>
      </c>
    </row>
    <row r="34" customFormat="false" ht="19.5" hidden="false" customHeight="true" outlineLevel="0" collapsed="false">
      <c r="A34" s="2" t="n">
        <v>128772869</v>
      </c>
      <c r="B34" s="2" t="s">
        <v>194</v>
      </c>
      <c r="C34" s="2" t="s">
        <v>195</v>
      </c>
      <c r="D34" s="2" t="s">
        <v>196</v>
      </c>
      <c r="E34" s="2" t="n">
        <v>848629</v>
      </c>
      <c r="F34" s="2" t="s">
        <v>197</v>
      </c>
      <c r="G34" s="2" t="s">
        <v>37</v>
      </c>
      <c r="H34" s="2" t="n">
        <f aca="false">IFERROR((TIMEVALUE(MID(G34,12,5))-TIMEVALUE(MID(F34,12,5)))*24,"")</f>
        <v>8</v>
      </c>
      <c r="I34" s="2" t="n">
        <v>0</v>
      </c>
      <c r="J34" s="2" t="n">
        <v>0</v>
      </c>
      <c r="K34" s="2" t="s">
        <v>24</v>
      </c>
      <c r="L34" s="2" t="s">
        <v>25</v>
      </c>
      <c r="M34" s="2"/>
      <c r="N34" s="2" t="s">
        <v>197</v>
      </c>
      <c r="O34" s="2" t="s">
        <v>37</v>
      </c>
      <c r="P34" s="2" t="s">
        <v>26</v>
      </c>
      <c r="Q34" s="2"/>
      <c r="R34" s="2"/>
      <c r="S34" s="3" t="s">
        <v>198</v>
      </c>
    </row>
    <row r="35" customFormat="false" ht="19.5" hidden="false" customHeight="true" outlineLevel="0" collapsed="false">
      <c r="A35" s="4" t="n">
        <v>145140753</v>
      </c>
      <c r="B35" s="4" t="s">
        <v>199</v>
      </c>
      <c r="C35" s="4" t="s">
        <v>200</v>
      </c>
      <c r="D35" s="4" t="s">
        <v>201</v>
      </c>
      <c r="E35" s="4" t="n">
        <v>467585</v>
      </c>
      <c r="F35" s="4" t="s">
        <v>202</v>
      </c>
      <c r="G35" s="4" t="s">
        <v>203</v>
      </c>
      <c r="H35" s="4" t="n">
        <f aca="false">IFERROR((TIMEVALUE(MID(G35,12,5))-TIMEVALUE(MID(F35,12,5)))*24,"")</f>
        <v>8.01666666666667</v>
      </c>
      <c r="I35" s="4" t="n">
        <v>0</v>
      </c>
      <c r="J35" s="4" t="n">
        <v>0</v>
      </c>
      <c r="K35" s="4" t="s">
        <v>24</v>
      </c>
      <c r="L35" s="4" t="s">
        <v>25</v>
      </c>
      <c r="M35" s="4"/>
      <c r="N35" s="4" t="s">
        <v>202</v>
      </c>
      <c r="O35" s="4" t="s">
        <v>203</v>
      </c>
      <c r="P35" s="4" t="s">
        <v>26</v>
      </c>
      <c r="Q35" s="4"/>
      <c r="R35" s="4"/>
      <c r="S35" s="5" t="s">
        <v>204</v>
      </c>
    </row>
    <row r="36" customFormat="false" ht="19.5" hidden="false" customHeight="true" outlineLevel="0" collapsed="false">
      <c r="A36" s="2" t="n">
        <v>128773012</v>
      </c>
      <c r="B36" s="2" t="s">
        <v>205</v>
      </c>
      <c r="C36" s="2" t="s">
        <v>206</v>
      </c>
      <c r="D36" s="2" t="s">
        <v>207</v>
      </c>
      <c r="E36" s="2" t="n">
        <v>886193</v>
      </c>
      <c r="F36" s="2" t="s">
        <v>208</v>
      </c>
      <c r="G36" s="2" t="s">
        <v>209</v>
      </c>
      <c r="H36" s="2" t="n">
        <f aca="false">IFERROR((TIMEVALUE(MID(G36,12,5))-TIMEVALUE(MID(F36,12,5)))*24,"")</f>
        <v>14.5</v>
      </c>
      <c r="I36" s="2" t="n">
        <v>0</v>
      </c>
      <c r="J36" s="2" t="n">
        <v>0</v>
      </c>
      <c r="K36" s="2" t="s">
        <v>24</v>
      </c>
      <c r="L36" s="2" t="s">
        <v>25</v>
      </c>
      <c r="M36" s="2"/>
      <c r="N36" s="2" t="s">
        <v>208</v>
      </c>
      <c r="O36" s="2" t="s">
        <v>209</v>
      </c>
      <c r="P36" s="2" t="s">
        <v>26</v>
      </c>
      <c r="Q36" s="2"/>
      <c r="R36" s="2"/>
      <c r="S36" s="3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2026-04-29T04:10:37Z</dcterms:created>
  <dc:creator>openpyxl</dc:creator>
  <dc:description/>
  <dc:language>en-US</dc:language>
  <cp:lastModifiedBy/>
  <dcterms:modified xsi:type="dcterms:W3CDTF">2026-04-29T04:13:58Z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